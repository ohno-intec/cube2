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01" codeName="{530CD6A5-0E62-55A6-17B6-8EE4857F3A0B}"/>
  <workbookPr codeName="ThisWorkbook" defaultThemeVersion="164011"/>
  <mc:AlternateContent xmlns:mc="http://schemas.openxmlformats.org/markup-compatibility/2006">
    <mc:Choice Requires="x15">
      <x15ac:absPath xmlns:x15ac="http://schemas.microsoft.com/office/spreadsheetml/2010/11/ac" url="D:\xampp\htdocs\cube2\storage\download\"/>
    </mc:Choice>
  </mc:AlternateContent>
  <bookViews>
    <workbookView xWindow="19065" yWindow="0" windowWidth="27435" windowHeight="12255"/>
  </bookViews>
  <sheets>
    <sheet name="最新商品マスタ" sheetId="1" r:id="rId1"/>
    <sheet name="Hidden" sheetId="2" r:id="rId2"/>
  </sheets>
  <functionGroups builtInGroupCount="18"/>
  <definedNames>
    <definedName name="商品種別名">OFFSET(Hidden!$X$1,1,0,COUNTA(Hidden!$X:$X)-1,1)</definedName>
    <definedName name="棚コード名">OFFSET(Hidden!$AB$1,1,0,COUNTA(Hidden!$AB:$AB)-1,1)</definedName>
  </definedNames>
  <calcPr calcId="171027"/>
</workbook>
</file>

<file path=xl/calcChain.xml><?xml version="1.0" encoding="utf-8"?>
<calcChain xmlns="http://schemas.openxmlformats.org/spreadsheetml/2006/main">
  <c r="X14" i="1" l="1"/>
  <c r="T14" i="1"/>
  <c r="F14" i="1"/>
  <c r="E14" i="1"/>
  <c r="X13" i="1"/>
  <c r="T13" i="1"/>
  <c r="F13" i="1"/>
  <c r="E13" i="1"/>
  <c r="X12" i="1"/>
  <c r="T12" i="1"/>
  <c r="F12" i="1"/>
  <c r="E12" i="1"/>
  <c r="X11" i="1"/>
  <c r="T11" i="1"/>
  <c r="F11" i="1"/>
  <c r="E11" i="1"/>
  <c r="X10" i="1"/>
  <c r="T10" i="1"/>
  <c r="F10" i="1"/>
  <c r="E10" i="1"/>
  <c r="X9" i="1"/>
  <c r="T9" i="1"/>
  <c r="F9" i="1"/>
  <c r="E9" i="1"/>
  <c r="AE8" i="1"/>
  <c r="AA8" i="1"/>
  <c r="X8" i="1"/>
  <c r="T8" i="1"/>
  <c r="F8" i="1"/>
  <c r="E8" i="1"/>
  <c r="AE7" i="1"/>
  <c r="AA7" i="1"/>
  <c r="X7" i="1"/>
  <c r="T7" i="1"/>
  <c r="F7" i="1"/>
  <c r="E7" i="1"/>
  <c r="AE6" i="1"/>
  <c r="AA6" i="1"/>
  <c r="X6" i="1"/>
  <c r="T6" i="1"/>
  <c r="F6" i="1"/>
  <c r="E6" i="1"/>
  <c r="AE5" i="1"/>
  <c r="AA5" i="1"/>
  <c r="X5" i="1"/>
  <c r="T5" i="1"/>
  <c r="F5" i="1"/>
  <c r="E5" i="1"/>
  <c r="AE4" i="1"/>
  <c r="AA4" i="1"/>
  <c r="X4" i="1"/>
  <c r="T4" i="1"/>
  <c r="F4" i="1"/>
  <c r="E4" i="1"/>
  <c r="AE3" i="1"/>
  <c r="AB3" i="1"/>
  <c r="AA3" i="1"/>
  <c r="X3" i="1"/>
  <c r="T3" i="1"/>
  <c r="F3" i="1"/>
  <c r="E3" i="1"/>
  <c r="T2" i="1"/>
  <c r="F2" i="1"/>
  <c r="E2" i="1"/>
</calcChain>
</file>

<file path=xl/sharedStrings.xml><?xml version="1.0" encoding="utf-8"?>
<sst xmlns="http://schemas.openxmlformats.org/spreadsheetml/2006/main" count="173" uniqueCount="104">
  <si>
    <t>商品ｺｰﾄﾞ</t>
  </si>
  <si>
    <t>商品名索引</t>
  </si>
  <si>
    <t>主仕入先ｺｰﾄﾞ</t>
  </si>
  <si>
    <t>主仕入先名</t>
  </si>
  <si>
    <t>標準売上単価</t>
  </si>
  <si>
    <t>標準仕入単価</t>
  </si>
  <si>
    <t>在庫評価単価</t>
  </si>
  <si>
    <t>上代単価</t>
  </si>
  <si>
    <t>新単価実施日</t>
  </si>
  <si>
    <t>新標準売上単価</t>
  </si>
  <si>
    <t>新標準仕入単価</t>
  </si>
  <si>
    <t>新在庫評価単価</t>
  </si>
  <si>
    <t>新上代単価</t>
  </si>
  <si>
    <t>商品大分類名</t>
  </si>
  <si>
    <t>商品種別ｺｰﾄﾞ</t>
  </si>
  <si>
    <t>商品種別名</t>
  </si>
  <si>
    <t>在庫保有ｺｰﾄﾞ</t>
  </si>
  <si>
    <t>在庫保有名</t>
  </si>
  <si>
    <t>棚コードｺｰﾄﾞ</t>
  </si>
  <si>
    <t>棚コード名</t>
  </si>
  <si>
    <t>倉庫保有ｺｰﾄﾞ</t>
  </si>
  <si>
    <t>倉庫保有名</t>
  </si>
  <si>
    <t>適正在庫数量</t>
  </si>
  <si>
    <t>ﾏｽﾀｰ検索表示区分</t>
  </si>
  <si>
    <t>JANｺｰﾄﾞ</t>
  </si>
  <si>
    <t>無し</t>
  </si>
  <si>
    <t>倉庫無し</t>
  </si>
  <si>
    <t>他社仕入</t>
  </si>
  <si>
    <t>在庫状況ｺｰﾄﾞ</t>
  </si>
  <si>
    <t>在庫状況名</t>
  </si>
  <si>
    <t>商品大分類ｺｰﾄﾞ</t>
  </si>
  <si>
    <t>商品小分類ｺｰﾄﾞ</t>
  </si>
  <si>
    <t>商品小分類名</t>
  </si>
  <si>
    <t>期首残数量</t>
  </si>
  <si>
    <t>期首残金額</t>
  </si>
  <si>
    <t>ﾏｽﾀｰ検索表示区分名</t>
  </si>
  <si>
    <t>表示</t>
  </si>
  <si>
    <t>ブランド名</t>
    <rPh sb="4" eb="5">
      <t>メイ</t>
    </rPh>
    <phoneticPr fontId="18"/>
  </si>
  <si>
    <t>型番</t>
    <rPh sb="0" eb="2">
      <t>カタバン</t>
    </rPh>
    <phoneticPr fontId="18"/>
  </si>
  <si>
    <t>ｸﾘｵﾌﾞﾙｰaaaaaaaaaaaaaaaaaa</t>
    <phoneticPr fontId="18"/>
  </si>
  <si>
    <t>Cb024 SV/BK</t>
    <phoneticPr fontId="18"/>
  </si>
  <si>
    <t>株式会社　ｲｰｽﾄｴﾝﾄﾞｶﾝﾊﾟﾆｰ</t>
  </si>
  <si>
    <t>000001_自社ｵﾘｼﾞﾅﾙ</t>
    <rPh sb="7" eb="9">
      <t>ジシャ</t>
    </rPh>
    <phoneticPr fontId="18"/>
  </si>
  <si>
    <t>000002_自社ﾗｲｾﾝｽ</t>
    <rPh sb="7" eb="9">
      <t>ジシャ</t>
    </rPh>
    <phoneticPr fontId="18"/>
  </si>
  <si>
    <t>000003_自社正規輸入</t>
    <rPh sb="7" eb="9">
      <t>ジシャ</t>
    </rPh>
    <rPh sb="9" eb="11">
      <t>セイキ</t>
    </rPh>
    <rPh sb="11" eb="13">
      <t>ユニュウ</t>
    </rPh>
    <phoneticPr fontId="18"/>
  </si>
  <si>
    <t>000004_自社並行輸入</t>
    <rPh sb="7" eb="9">
      <t>ジシャ</t>
    </rPh>
    <rPh sb="9" eb="11">
      <t>ヘイコウ</t>
    </rPh>
    <rPh sb="11" eb="13">
      <t>ユニュウ</t>
    </rPh>
    <phoneticPr fontId="18"/>
  </si>
  <si>
    <t>000005_受託OEM</t>
    <rPh sb="7" eb="9">
      <t>ジュタク</t>
    </rPh>
    <phoneticPr fontId="18"/>
  </si>
  <si>
    <t>000101_他社仕入</t>
    <rPh sb="7" eb="9">
      <t>タシャ</t>
    </rPh>
    <rPh sb="9" eb="11">
      <t>シイレ</t>
    </rPh>
    <phoneticPr fontId="18"/>
  </si>
  <si>
    <t>商品名(自動入力/文字数が36文字以内)</t>
    <rPh sb="4" eb="6">
      <t>ジドウ</t>
    </rPh>
    <rPh sb="6" eb="8">
      <t>ニュウリョク</t>
    </rPh>
    <rPh sb="9" eb="12">
      <t>モジスウ</t>
    </rPh>
    <rPh sb="15" eb="17">
      <t>モジ</t>
    </rPh>
    <rPh sb="17" eb="19">
      <t>イナイ</t>
    </rPh>
    <phoneticPr fontId="18"/>
  </si>
  <si>
    <t>商品種別名</t>
    <phoneticPr fontId="18"/>
  </si>
  <si>
    <t>000001_A-1</t>
  </si>
  <si>
    <t>000002_A-2</t>
  </si>
  <si>
    <t>000003_A-3</t>
  </si>
  <si>
    <t>000004_B-1</t>
  </si>
  <si>
    <t>000005_B-2</t>
  </si>
  <si>
    <t>000006_B-3</t>
  </si>
  <si>
    <t>000007_C-1</t>
  </si>
  <si>
    <t>000008_C-2</t>
  </si>
  <si>
    <t>000009_C-3</t>
  </si>
  <si>
    <t>000010_C-4</t>
  </si>
  <si>
    <t>000011_C-5</t>
  </si>
  <si>
    <t>000012_D-1</t>
  </si>
  <si>
    <t>000013_D-2</t>
  </si>
  <si>
    <t>000014_D-3</t>
  </si>
  <si>
    <t>000015_D-4</t>
  </si>
  <si>
    <t>000016_D-5</t>
  </si>
  <si>
    <t>000017_E-1</t>
  </si>
  <si>
    <t>000018_E-2</t>
  </si>
  <si>
    <t>000019_E-3</t>
  </si>
  <si>
    <t>000020_E-4</t>
  </si>
  <si>
    <t>000021_E-5</t>
  </si>
  <si>
    <t>000022_F-1</t>
  </si>
  <si>
    <t>000023_F-2</t>
  </si>
  <si>
    <t>000024_F-3</t>
  </si>
  <si>
    <t>000025_F-4</t>
  </si>
  <si>
    <t>000026_F-5</t>
  </si>
  <si>
    <t>ブランドｺｰﾄﾞ</t>
    <phoneticPr fontId="18"/>
  </si>
  <si>
    <t>4580402402108</t>
  </si>
  <si>
    <t>TSM411PN</t>
  </si>
  <si>
    <t>TSM411TW</t>
  </si>
  <si>
    <t>TSM412NB</t>
  </si>
  <si>
    <t>TSM412SB</t>
  </si>
  <si>
    <t>TSM914IB</t>
  </si>
  <si>
    <t>TSM914IS</t>
  </si>
  <si>
    <t>TSM616SB</t>
  </si>
  <si>
    <t>TSM616TS</t>
  </si>
  <si>
    <t>TSL613PW</t>
  </si>
  <si>
    <t>TSL613TW</t>
  </si>
  <si>
    <t>TSL915IW</t>
  </si>
  <si>
    <t>TSL915IS</t>
  </si>
  <si>
    <t>ﾃｸﾉｽ</t>
    <phoneticPr fontId="18"/>
  </si>
  <si>
    <t>ティーツー</t>
    <phoneticPr fontId="18"/>
  </si>
  <si>
    <t>4589911862182</t>
  </si>
  <si>
    <t>4589911862199</t>
  </si>
  <si>
    <t>4589911862205</t>
  </si>
  <si>
    <t>4589911862212</t>
  </si>
  <si>
    <t>4589911862243</t>
  </si>
  <si>
    <t>4589911862250</t>
  </si>
  <si>
    <t>4589911862281</t>
  </si>
  <si>
    <t>4589911862298</t>
  </si>
  <si>
    <t>4589911862229</t>
  </si>
  <si>
    <t>4589911862236</t>
  </si>
  <si>
    <t>4589911862267</t>
  </si>
  <si>
    <t>4589911862274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</si>
</sst>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65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name val="游ゴシック"/>
      <family val="2"/>
      <charset val="128"/>
      <scheme val="minor"/>
    </font>
    <font>
      <sz val="11"/>
      <name val="ＭＳ Ｐゴシック"/>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2"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7"/>
        <bgColor indexed="64"/>
      </patternFill>
    </fill>
    <fill>
      <patternFill patternType="solid">
        <fgColor rgb="FF0070C0"/>
        <bgColor indexed="64"/>
      </patternFill>
    </fill>
    <fill>
      <patternFill patternType="lightUp">
        <fgColor theme="6"/>
        <bgColor auto="1"/>
      </patternFill>
    </fill>
    <fill>
      <patternFill patternType="lightUp">
        <fgColor theme="6"/>
        <bgColor rgb="FF92D050"/>
      </patternFill>
    </fill>
    <fill>
      <patternFill patternType="lightUp">
        <fgColor theme="6"/>
        <bgColor rgb="FF0070C0"/>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0" fillId="0" borderId="0">
      <alignment vertical="center"/>
    </xf>
  </cellStyleXfs>
  <cellXfs count="21">
    <xf numFmtId="0" fontId="0" fillId="0" borderId="0" xfId="0">
      <alignment vertical="center"/>
    </xf>
    <xf numFmtId="56" fontId="0" fillId="0" borderId="0" xfId="0" applyNumberFormat="1">
      <alignment vertical="center"/>
    </xf>
    <xf numFmtId="14" fontId="0" fillId="0" borderId="0" xfId="0" applyNumberFormat="1">
      <alignment vertical="center"/>
    </xf>
    <xf numFmtId="0" fontId="0" fillId="33" borderId="0" xfId="0" applyFill="1">
      <alignment vertical="center"/>
    </xf>
    <xf numFmtId="0" fontId="0" fillId="34" borderId="0" xfId="0" applyFill="1">
      <alignment vertical="center"/>
    </xf>
    <xf numFmtId="0" fontId="0" fillId="0" borderId="0" xfId="0" applyFill="1">
      <alignment vertical="center"/>
    </xf>
    <xf numFmtId="0" fontId="19" fillId="34" borderId="0" xfId="0" applyFont="1" applyFill="1">
      <alignment vertical="center"/>
    </xf>
    <xf numFmtId="49" fontId="0" fillId="34" borderId="0" xfId="0" applyNumberFormat="1" applyFill="1">
      <alignment vertical="center"/>
    </xf>
    <xf numFmtId="49" fontId="0" fillId="0" borderId="0" xfId="0" applyNumberFormat="1">
      <alignment vertical="center"/>
    </xf>
    <xf numFmtId="0" fontId="0" fillId="35" borderId="0" xfId="0" applyFill="1" applyAlignment="1">
      <alignment vertical="top"/>
    </xf>
    <xf numFmtId="0" fontId="0" fillId="0" borderId="0" xfId="0" applyAlignment="1">
      <alignment vertical="top"/>
    </xf>
    <xf numFmtId="0" fontId="0" fillId="38" borderId="0" xfId="0" applyFill="1" applyAlignment="1">
      <alignment vertical="top"/>
    </xf>
    <xf numFmtId="0" fontId="0" fillId="36" borderId="0" xfId="0" applyFill="1" applyAlignment="1">
      <alignment vertical="top"/>
    </xf>
    <xf numFmtId="0" fontId="0" fillId="40" borderId="10" xfId="0" applyFill="1" applyBorder="1" applyAlignment="1">
      <alignment vertical="top"/>
    </xf>
    <xf numFmtId="0" fontId="0" fillId="39" borderId="11" xfId="0" applyFill="1" applyBorder="1" applyAlignment="1">
      <alignment vertical="top"/>
    </xf>
    <xf numFmtId="0" fontId="0" fillId="40" borderId="11" xfId="0" applyFill="1" applyBorder="1" applyAlignment="1">
      <alignment vertical="top"/>
    </xf>
    <xf numFmtId="0" fontId="0" fillId="40" borderId="12" xfId="0" applyFill="1" applyBorder="1" applyAlignment="1">
      <alignment vertical="top"/>
    </xf>
    <xf numFmtId="0" fontId="0" fillId="37" borderId="0" xfId="0" applyFill="1" applyAlignment="1">
      <alignment vertical="top"/>
    </xf>
    <xf numFmtId="0" fontId="0" fillId="41" borderId="10" xfId="0" applyFill="1" applyBorder="1" applyAlignment="1">
      <alignment vertical="top"/>
    </xf>
    <xf numFmtId="0" fontId="0" fillId="41" borderId="12" xfId="0" applyFill="1" applyBorder="1" applyAlignment="1">
      <alignment vertical="top"/>
    </xf>
    <xf numFmtId="49" fontId="0" fillId="36" borderId="0" xfId="0" applyNumberFormat="1" applyFill="1" applyAlignment="1">
      <alignment vertical="top"/>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入力" xfId="9" builtinId="20" customBuiltin="1"/>
    <cellStyle name="出力" xfId="10" builtinId="21" customBuiltin="1"/>
    <cellStyle name="悪い" xfId="7" builtinId="27" customBuiltin="1"/>
    <cellStyle name="標準" xfId="0" builtinId="0"/>
    <cellStyle name="標準 2" xfId="42"/>
    <cellStyle name="良い" xfId="6" builtinId="26" customBuiltin="1"/>
    <cellStyle name="見出し 1" xfId="2" builtinId="16" customBuiltin="1"/>
    <cellStyle name="見出し 2" xfId="3" builtinId="17" customBuiltin="1"/>
    <cellStyle name="見出し 3" xfId="4" builtinId="18" customBuiltin="1"/>
    <cellStyle name="見出し 4" xfId="5" builtinId="19" customBuiltin="1"/>
    <cellStyle name="計算" xfId="11" builtinId="22" customBuiltin="1"/>
    <cellStyle name="説明文" xfId="16" builtinId="53" customBuiltin="1"/>
    <cellStyle name="警告文" xfId="14" builtinId="11" customBuiltin="1"/>
    <cellStyle name="集計" xfId="17" builtinId="25" customBuiltin="1"/>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266700</xdr:rowOff>
        </xdr:from>
        <xdr:to>
          <xdr:col>1</xdr:col>
          <xdr:colOff>1685925</xdr:colOff>
          <xdr:row>0</xdr:row>
          <xdr:rowOff>619125</xdr:rowOff>
        </xdr:to>
        <xdr:sp macro="" textlink="">
          <xdr:nvSpPr>
            <xdr:cNvPr id="1046" name="brandcodeSrch"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257175</xdr:rowOff>
        </xdr:from>
        <xdr:to>
          <xdr:col>6</xdr:col>
          <xdr:colOff>1066800</xdr:colOff>
          <xdr:row>0</xdr:row>
          <xdr:rowOff>609600</xdr:rowOff>
        </xdr:to>
        <xdr:sp macro="" textlink="">
          <xdr:nvSpPr>
            <xdr:cNvPr id="1047" name="suppliercodeSrch"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0</xdr:row>
          <xdr:rowOff>447675</xdr:rowOff>
        </xdr:from>
        <xdr:to>
          <xdr:col>21</xdr:col>
          <xdr:colOff>981075</xdr:colOff>
          <xdr:row>1</xdr:row>
          <xdr:rowOff>133350</xdr:rowOff>
        </xdr:to>
        <xdr:sp macro="" textlink="">
          <xdr:nvSpPr>
            <xdr:cNvPr id="1048" name="categorycodeSrch"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17268"/>
  <sheetViews>
    <sheetView tabSelected="1" zoomScaleNormal="100" workbookViewId="0">
      <pane ySplit="1" topLeftCell="A2" activePane="bottomLeft" state="frozen"/>
      <selection activeCell="C1" sqref="C1"/>
      <selection pane="bottomLeft" activeCell="D8" sqref="D8"/>
    </sheetView>
  </sheetViews>
  <sheetFormatPr defaultRowHeight="18.75" x14ac:dyDescent="0.4"/>
  <cols>
    <col min="1" max="1" width="11.625" customWidth="1"/>
    <col min="2" max="2" width="22.375" customWidth="1"/>
    <col min="3" max="3" width="22.25" customWidth="1"/>
    <col min="4" max="4" width="18.125" bestFit="1" customWidth="1"/>
    <col min="5" max="5" width="41.5" style="5" customWidth="1"/>
    <col min="6" max="6" width="13.75" customWidth="1"/>
    <col min="7" max="7" width="18.5" customWidth="1"/>
    <col min="8" max="8" width="26.5" customWidth="1"/>
    <col min="9" max="17" width="9" customWidth="1"/>
    <col min="18" max="18" width="13.375" bestFit="1" customWidth="1"/>
    <col min="19" max="19" width="11" bestFit="1" customWidth="1"/>
    <col min="20" max="20" width="15.375" bestFit="1" customWidth="1"/>
    <col min="21" max="21" width="13" bestFit="1" customWidth="1"/>
    <col min="22" max="22" width="13.375" bestFit="1" customWidth="1"/>
    <col min="23" max="23" width="11.5" customWidth="1"/>
    <col min="24" max="24" width="13.375" bestFit="1" customWidth="1"/>
    <col min="25" max="25" width="19.125" bestFit="1" customWidth="1"/>
    <col min="26" max="26" width="15.375" customWidth="1"/>
    <col min="27" max="27" width="11" bestFit="1" customWidth="1"/>
    <col min="28" max="28" width="13.375" bestFit="1" customWidth="1"/>
    <col min="29" max="29" width="11" bestFit="1" customWidth="1"/>
    <col min="37" max="37" width="12.25" bestFit="1" customWidth="1"/>
  </cols>
  <sheetData>
    <row r="1" spans="1:37" ht="52.5" customHeight="1" x14ac:dyDescent="0.4">
      <c r="A1" s="10" t="s">
        <v>0</v>
      </c>
      <c r="B1" s="9" t="s">
        <v>76</v>
      </c>
      <c r="C1" s="9" t="s">
        <v>37</v>
      </c>
      <c r="D1" s="9" t="s">
        <v>38</v>
      </c>
      <c r="E1" s="11" t="s">
        <v>48</v>
      </c>
      <c r="F1" s="11" t="s">
        <v>1</v>
      </c>
      <c r="G1" s="12" t="s">
        <v>2</v>
      </c>
      <c r="H1" s="12" t="s">
        <v>3</v>
      </c>
      <c r="I1" s="10" t="s">
        <v>4</v>
      </c>
      <c r="J1" s="9" t="s">
        <v>5</v>
      </c>
      <c r="K1" s="9" t="s">
        <v>6</v>
      </c>
      <c r="L1" s="12" t="s">
        <v>7</v>
      </c>
      <c r="M1" s="13" t="s">
        <v>8</v>
      </c>
      <c r="N1" s="14" t="s">
        <v>9</v>
      </c>
      <c r="O1" s="15" t="s">
        <v>10</v>
      </c>
      <c r="P1" s="15" t="s">
        <v>11</v>
      </c>
      <c r="Q1" s="16" t="s">
        <v>12</v>
      </c>
      <c r="R1" s="10" t="s">
        <v>28</v>
      </c>
      <c r="S1" s="10" t="s">
        <v>29</v>
      </c>
      <c r="T1" s="11" t="s">
        <v>30</v>
      </c>
      <c r="U1" s="10" t="s">
        <v>13</v>
      </c>
      <c r="V1" s="9" t="s">
        <v>31</v>
      </c>
      <c r="W1" s="10" t="s">
        <v>32</v>
      </c>
      <c r="X1" s="11" t="s">
        <v>14</v>
      </c>
      <c r="Y1" s="9" t="s">
        <v>15</v>
      </c>
      <c r="Z1" s="17" t="s">
        <v>16</v>
      </c>
      <c r="AA1" s="11" t="s">
        <v>17</v>
      </c>
      <c r="AB1" s="18" t="s">
        <v>18</v>
      </c>
      <c r="AC1" s="15" t="s">
        <v>19</v>
      </c>
      <c r="AD1" s="15" t="s">
        <v>20</v>
      </c>
      <c r="AE1" s="19" t="s">
        <v>21</v>
      </c>
      <c r="AF1" s="10" t="s">
        <v>22</v>
      </c>
      <c r="AG1" s="10" t="s">
        <v>33</v>
      </c>
      <c r="AH1" s="10" t="s">
        <v>34</v>
      </c>
      <c r="AI1" s="10" t="s">
        <v>23</v>
      </c>
      <c r="AJ1" s="10" t="s">
        <v>35</v>
      </c>
      <c r="AK1" s="20" t="s">
        <v>24</v>
      </c>
    </row>
    <row r="2" spans="1:37" x14ac:dyDescent="0.4">
      <c r="A2" s="4">
        <v>4770001</v>
      </c>
      <c r="B2" s="4">
        <v>1</v>
      </c>
      <c r="C2" s="4" t="s">
        <v>39</v>
      </c>
      <c r="D2" s="7" t="s">
        <v>40</v>
      </c>
      <c r="E2" s="4" t="str">
        <f t="shared" ref="E2:E8" si="0">ASC(C2)&amp;" "&amp;ASC(D2)</f>
        <v>ｸﾘｵﾌﾞﾙｰaaaaaaaaaaaaaaaaaa Cb024 SV/BK</v>
      </c>
      <c r="F2" s="6" t="str">
        <f t="shared" ref="F2:F8" si="1">LEFT(LOWER(D2),10)</f>
        <v>cb024 sv/b</v>
      </c>
      <c r="G2" s="4">
        <v>200239</v>
      </c>
      <c r="H2" s="4" t="s">
        <v>41</v>
      </c>
      <c r="I2" s="4">
        <v>0</v>
      </c>
      <c r="J2" s="4">
        <v>8100</v>
      </c>
      <c r="K2" s="4">
        <v>8100</v>
      </c>
      <c r="L2" s="4">
        <v>18000</v>
      </c>
      <c r="M2" s="4"/>
      <c r="N2" s="4">
        <v>0</v>
      </c>
      <c r="O2" s="4">
        <v>0</v>
      </c>
      <c r="P2" s="4">
        <v>0</v>
      </c>
      <c r="Q2" s="4">
        <v>0</v>
      </c>
      <c r="R2" s="4">
        <v>0</v>
      </c>
      <c r="S2" s="4">
        <v>0</v>
      </c>
      <c r="T2" s="4" t="str">
        <f t="shared" ref="T2:T8" si="2">LEFT(V2,2)</f>
        <v>64</v>
      </c>
      <c r="U2" s="4"/>
      <c r="V2" s="4">
        <v>641</v>
      </c>
      <c r="W2" s="4"/>
      <c r="X2" s="4">
        <v>101</v>
      </c>
      <c r="Y2" s="4" t="s">
        <v>27</v>
      </c>
      <c r="Z2" s="4">
        <v>1</v>
      </c>
      <c r="AA2" s="4" t="s">
        <v>25</v>
      </c>
      <c r="AB2" s="4">
        <v>0</v>
      </c>
      <c r="AC2" s="4"/>
      <c r="AD2" s="4">
        <v>1</v>
      </c>
      <c r="AE2" s="4" t="s">
        <v>26</v>
      </c>
      <c r="AF2" s="4">
        <v>0</v>
      </c>
      <c r="AG2" s="4">
        <v>0</v>
      </c>
      <c r="AH2" s="4">
        <v>0</v>
      </c>
      <c r="AI2" s="4">
        <v>0</v>
      </c>
      <c r="AJ2" s="4" t="s">
        <v>36</v>
      </c>
      <c r="AK2" s="7" t="s">
        <v>77</v>
      </c>
    </row>
    <row r="3" spans="1:37" x14ac:dyDescent="0.4">
      <c r="B3">
        <v>141</v>
      </c>
      <c r="C3" t="s">
        <v>90</v>
      </c>
      <c r="D3" s="8" t="s">
        <v>78</v>
      </c>
      <c r="E3" s="5" t="str">
        <f t="shared" si="0"/>
        <v>ﾃｸﾉｽ TSM411PN</v>
      </c>
      <c r="F3" t="str">
        <f t="shared" si="1"/>
        <v>tsm411pn</v>
      </c>
      <c r="G3">
        <v>100088</v>
      </c>
      <c r="H3" t="s">
        <v>91</v>
      </c>
      <c r="J3">
        <v>4650</v>
      </c>
      <c r="K3">
        <v>4650</v>
      </c>
      <c r="L3">
        <v>35000</v>
      </c>
      <c r="T3" t="str">
        <f t="shared" si="2"/>
        <v>64</v>
      </c>
      <c r="V3">
        <v>641</v>
      </c>
      <c r="X3" t="str">
        <f>LEFT(Y3,6)</f>
        <v>000002</v>
      </c>
      <c r="Y3" t="s">
        <v>43</v>
      </c>
      <c r="Z3">
        <v>1</v>
      </c>
      <c r="AA3" t="str">
        <f t="shared" ref="AA3:AA8" si="3">IF(Z3=1,"無し",IF(Z3=2,"有り",""))</f>
        <v>無し</v>
      </c>
      <c r="AB3" t="str">
        <f>LEFT(AC3,6)</f>
        <v/>
      </c>
      <c r="AD3">
        <v>1</v>
      </c>
      <c r="AE3" t="str">
        <f t="shared" ref="AE3:AE8" si="4">IF(AD3=1,"倉庫無し",IF(AD3=2,"倉庫有り",""))</f>
        <v>倉庫無し</v>
      </c>
      <c r="AJ3">
        <v>0</v>
      </c>
      <c r="AK3" s="8" t="s">
        <v>92</v>
      </c>
    </row>
    <row r="4" spans="1:37" x14ac:dyDescent="0.4">
      <c r="B4">
        <v>141</v>
      </c>
      <c r="C4" t="s">
        <v>90</v>
      </c>
      <c r="D4" s="8" t="s">
        <v>79</v>
      </c>
      <c r="E4" s="5" t="str">
        <f t="shared" si="0"/>
        <v>ﾃｸﾉｽ TSM411TW</v>
      </c>
      <c r="F4" t="str">
        <f t="shared" si="1"/>
        <v>tsm411tw</v>
      </c>
      <c r="G4">
        <v>100088</v>
      </c>
      <c r="H4" t="s">
        <v>91</v>
      </c>
      <c r="J4">
        <v>4650</v>
      </c>
      <c r="K4">
        <v>4650</v>
      </c>
      <c r="L4">
        <v>35000</v>
      </c>
      <c r="T4" t="str">
        <f t="shared" si="2"/>
        <v>64</v>
      </c>
      <c r="V4">
        <v>641</v>
      </c>
      <c r="X4" t="str">
        <f t="shared" ref="X4:X14" si="5">LEFT(Y4,6)</f>
        <v>000002</v>
      </c>
      <c r="Y4" t="s">
        <v>43</v>
      </c>
      <c r="Z4">
        <v>1</v>
      </c>
      <c r="AA4" t="str">
        <f t="shared" si="3"/>
        <v>無し</v>
      </c>
      <c r="AD4">
        <v>1</v>
      </c>
      <c r="AE4" t="str">
        <f t="shared" si="4"/>
        <v>倉庫無し</v>
      </c>
      <c r="AJ4">
        <v>0</v>
      </c>
      <c r="AK4" s="8" t="s">
        <v>93</v>
      </c>
    </row>
    <row r="5" spans="1:37" x14ac:dyDescent="0.4">
      <c r="B5">
        <v>141</v>
      </c>
      <c r="C5" t="s">
        <v>90</v>
      </c>
      <c r="D5" s="8" t="s">
        <v>80</v>
      </c>
      <c r="E5" s="5" t="str">
        <f t="shared" si="0"/>
        <v>ﾃｸﾉｽ TSM412NB</v>
      </c>
      <c r="F5" t="str">
        <f t="shared" si="1"/>
        <v>tsm412nb</v>
      </c>
      <c r="G5">
        <v>100088</v>
      </c>
      <c r="H5" t="s">
        <v>91</v>
      </c>
      <c r="J5">
        <v>4650</v>
      </c>
      <c r="K5">
        <v>4650</v>
      </c>
      <c r="L5">
        <v>35000</v>
      </c>
      <c r="T5" t="str">
        <f t="shared" si="2"/>
        <v>64</v>
      </c>
      <c r="V5">
        <v>641</v>
      </c>
      <c r="X5" t="str">
        <f t="shared" si="5"/>
        <v>000002</v>
      </c>
      <c r="Y5" t="s">
        <v>43</v>
      </c>
      <c r="Z5">
        <v>1</v>
      </c>
      <c r="AA5" t="str">
        <f t="shared" si="3"/>
        <v>無し</v>
      </c>
      <c r="AD5">
        <v>1</v>
      </c>
      <c r="AE5" t="str">
        <f t="shared" si="4"/>
        <v>倉庫無し</v>
      </c>
      <c r="AJ5">
        <v>0</v>
      </c>
      <c r="AK5" s="8" t="s">
        <v>94</v>
      </c>
    </row>
    <row r="6" spans="1:37" x14ac:dyDescent="0.4">
      <c r="B6">
        <v>141</v>
      </c>
      <c r="C6" t="s">
        <v>90</v>
      </c>
      <c r="D6" s="8" t="s">
        <v>81</v>
      </c>
      <c r="E6" s="5" t="str">
        <f t="shared" si="0"/>
        <v>ﾃｸﾉｽ TSM412SB</v>
      </c>
      <c r="F6" t="str">
        <f t="shared" si="1"/>
        <v>tsm412sb</v>
      </c>
      <c r="G6">
        <v>100088</v>
      </c>
      <c r="H6" t="s">
        <v>91</v>
      </c>
      <c r="J6">
        <v>4650</v>
      </c>
      <c r="K6">
        <v>4650</v>
      </c>
      <c r="L6">
        <v>35000</v>
      </c>
      <c r="T6" t="str">
        <f t="shared" si="2"/>
        <v>64</v>
      </c>
      <c r="V6">
        <v>641</v>
      </c>
      <c r="X6" t="str">
        <f t="shared" si="5"/>
        <v>000002</v>
      </c>
      <c r="Y6" t="s">
        <v>43</v>
      </c>
      <c r="Z6">
        <v>1</v>
      </c>
      <c r="AA6" t="str">
        <f t="shared" si="3"/>
        <v>無し</v>
      </c>
      <c r="AD6">
        <v>1</v>
      </c>
      <c r="AE6" t="str">
        <f t="shared" si="4"/>
        <v>倉庫無し</v>
      </c>
      <c r="AJ6">
        <v>0</v>
      </c>
      <c r="AK6" s="8" t="s">
        <v>95</v>
      </c>
    </row>
    <row r="7" spans="1:37" x14ac:dyDescent="0.4">
      <c r="B7">
        <v>141</v>
      </c>
      <c r="C7" t="s">
        <v>90</v>
      </c>
      <c r="D7" s="8" t="s">
        <v>82</v>
      </c>
      <c r="E7" s="5" t="str">
        <f t="shared" si="0"/>
        <v>ﾃｸﾉｽ TSM914IB</v>
      </c>
      <c r="F7" t="str">
        <f t="shared" si="1"/>
        <v>tsm914ib</v>
      </c>
      <c r="G7">
        <v>100088</v>
      </c>
      <c r="H7" t="s">
        <v>91</v>
      </c>
      <c r="J7">
        <v>4650</v>
      </c>
      <c r="K7">
        <v>4650</v>
      </c>
      <c r="L7">
        <v>35000</v>
      </c>
      <c r="T7" t="str">
        <f t="shared" si="2"/>
        <v>64</v>
      </c>
      <c r="V7">
        <v>641</v>
      </c>
      <c r="X7" t="str">
        <f t="shared" si="5"/>
        <v>000002</v>
      </c>
      <c r="Y7" t="s">
        <v>43</v>
      </c>
      <c r="Z7">
        <v>1</v>
      </c>
      <c r="AA7" t="str">
        <f t="shared" si="3"/>
        <v>無し</v>
      </c>
      <c r="AD7">
        <v>1</v>
      </c>
      <c r="AE7" t="str">
        <f t="shared" si="4"/>
        <v>倉庫無し</v>
      </c>
      <c r="AJ7">
        <v>0</v>
      </c>
      <c r="AK7" s="8" t="s">
        <v>96</v>
      </c>
    </row>
    <row r="8" spans="1:37" x14ac:dyDescent="0.4">
      <c r="B8">
        <v>141</v>
      </c>
      <c r="C8" t="s">
        <v>90</v>
      </c>
      <c r="D8" s="8" t="s">
        <v>83</v>
      </c>
      <c r="E8" s="5" t="str">
        <f t="shared" si="0"/>
        <v>ﾃｸﾉｽ TSM914IS</v>
      </c>
      <c r="F8" t="str">
        <f t="shared" si="1"/>
        <v>tsm914is</v>
      </c>
      <c r="G8">
        <v>100088</v>
      </c>
      <c r="H8" t="s">
        <v>91</v>
      </c>
      <c r="J8">
        <v>4650</v>
      </c>
      <c r="K8">
        <v>4650</v>
      </c>
      <c r="L8">
        <v>35000</v>
      </c>
      <c r="T8" t="str">
        <f t="shared" si="2"/>
        <v>64</v>
      </c>
      <c r="V8">
        <v>641</v>
      </c>
      <c r="X8" t="str">
        <f t="shared" si="5"/>
        <v>000002</v>
      </c>
      <c r="Y8" t="s">
        <v>43</v>
      </c>
      <c r="Z8">
        <v>1</v>
      </c>
      <c r="AA8" t="str">
        <f t="shared" si="3"/>
        <v>無し</v>
      </c>
      <c r="AD8">
        <v>1</v>
      </c>
      <c r="AE8" t="str">
        <f t="shared" si="4"/>
        <v>倉庫無し</v>
      </c>
      <c r="AJ8">
        <v>0</v>
      </c>
      <c r="AK8" s="8" t="s">
        <v>97</v>
      </c>
    </row>
    <row r="9" spans="1:37" x14ac:dyDescent="0.4">
      <c r="B9">
        <v>141</v>
      </c>
      <c r="C9" t="s">
        <v>90</v>
      </c>
      <c r="D9" t="s">
        <v>84</v>
      </c>
      <c r="E9" s="5" t="str">
        <f t="shared" ref="E9:E14" si="6">ASC(C9)&amp;" "&amp;ASC(D9)</f>
        <v>ﾃｸﾉｽ TSM616SB</v>
      </c>
      <c r="F9" t="str">
        <f t="shared" ref="F9:F14" si="7">LEFT(LOWER(D9),10)</f>
        <v>tsm616sb</v>
      </c>
      <c r="G9">
        <v>100088</v>
      </c>
      <c r="H9" t="s">
        <v>91</v>
      </c>
      <c r="J9">
        <v>4650</v>
      </c>
      <c r="K9">
        <v>4650</v>
      </c>
      <c r="L9">
        <v>35000</v>
      </c>
      <c r="T9" t="str">
        <f t="shared" ref="T9:T14" si="8">LEFT(V9,2)</f>
        <v>64</v>
      </c>
      <c r="V9">
        <v>641</v>
      </c>
      <c r="X9" t="str">
        <f t="shared" si="5"/>
        <v>000002</v>
      </c>
      <c r="Y9" t="s">
        <v>43</v>
      </c>
      <c r="Z9">
        <v>1</v>
      </c>
      <c r="AD9">
        <v>1</v>
      </c>
      <c r="AK9" t="s">
        <v>98</v>
      </c>
    </row>
    <row r="10" spans="1:37" x14ac:dyDescent="0.4">
      <c r="B10">
        <v>141</v>
      </c>
      <c r="C10" t="s">
        <v>90</v>
      </c>
      <c r="D10" t="s">
        <v>85</v>
      </c>
      <c r="E10" s="5" t="str">
        <f t="shared" si="6"/>
        <v>ﾃｸﾉｽ TSM616TS</v>
      </c>
      <c r="F10" t="str">
        <f t="shared" si="7"/>
        <v>tsm616ts</v>
      </c>
      <c r="G10">
        <v>100088</v>
      </c>
      <c r="H10" t="s">
        <v>91</v>
      </c>
      <c r="J10">
        <v>4650</v>
      </c>
      <c r="K10">
        <v>4650</v>
      </c>
      <c r="L10">
        <v>35000</v>
      </c>
      <c r="T10" t="str">
        <f t="shared" si="8"/>
        <v>64</v>
      </c>
      <c r="V10">
        <v>641</v>
      </c>
      <c r="X10" t="str">
        <f t="shared" si="5"/>
        <v>000002</v>
      </c>
      <c r="Y10" t="s">
        <v>43</v>
      </c>
      <c r="Z10">
        <v>1</v>
      </c>
      <c r="AD10">
        <v>1</v>
      </c>
      <c r="AK10" t="s">
        <v>99</v>
      </c>
    </row>
    <row r="11" spans="1:37" x14ac:dyDescent="0.4">
      <c r="B11">
        <v>141</v>
      </c>
      <c r="C11" t="s">
        <v>90</v>
      </c>
      <c r="D11" t="s">
        <v>86</v>
      </c>
      <c r="E11" s="5" t="str">
        <f t="shared" si="6"/>
        <v>ﾃｸﾉｽ TSL613PW</v>
      </c>
      <c r="F11" t="str">
        <f t="shared" si="7"/>
        <v>tsl613pw</v>
      </c>
      <c r="G11">
        <v>100088</v>
      </c>
      <c r="H11" t="s">
        <v>91</v>
      </c>
      <c r="J11">
        <v>4650</v>
      </c>
      <c r="K11">
        <v>4650</v>
      </c>
      <c r="L11">
        <v>35000</v>
      </c>
      <c r="T11" t="str">
        <f t="shared" si="8"/>
        <v>64</v>
      </c>
      <c r="V11">
        <v>641</v>
      </c>
      <c r="X11" t="str">
        <f t="shared" si="5"/>
        <v>000002</v>
      </c>
      <c r="Y11" t="s">
        <v>43</v>
      </c>
      <c r="Z11">
        <v>1</v>
      </c>
      <c r="AD11">
        <v>1</v>
      </c>
      <c r="AK11" t="s">
        <v>100</v>
      </c>
    </row>
    <row r="12" spans="1:37" x14ac:dyDescent="0.4">
      <c r="B12">
        <v>141</v>
      </c>
      <c r="C12" t="s">
        <v>90</v>
      </c>
      <c r="D12" t="s">
        <v>87</v>
      </c>
      <c r="E12" s="5" t="str">
        <f t="shared" si="6"/>
        <v>ﾃｸﾉｽ TSL613TW</v>
      </c>
      <c r="F12" t="str">
        <f t="shared" si="7"/>
        <v>tsl613tw</v>
      </c>
      <c r="G12">
        <v>100088</v>
      </c>
      <c r="H12" t="s">
        <v>91</v>
      </c>
      <c r="J12">
        <v>4650</v>
      </c>
      <c r="K12">
        <v>4650</v>
      </c>
      <c r="L12">
        <v>35000</v>
      </c>
      <c r="T12" t="str">
        <f t="shared" si="8"/>
        <v>64</v>
      </c>
      <c r="V12">
        <v>641</v>
      </c>
      <c r="X12" t="str">
        <f t="shared" si="5"/>
        <v>000002</v>
      </c>
      <c r="Y12" t="s">
        <v>43</v>
      </c>
      <c r="Z12">
        <v>1</v>
      </c>
      <c r="AD12">
        <v>1</v>
      </c>
      <c r="AK12" t="s">
        <v>101</v>
      </c>
    </row>
    <row r="13" spans="1:37" x14ac:dyDescent="0.4">
      <c r="B13">
        <v>141</v>
      </c>
      <c r="C13" t="s">
        <v>90</v>
      </c>
      <c r="D13" t="s">
        <v>88</v>
      </c>
      <c r="E13" s="5" t="str">
        <f t="shared" si="6"/>
        <v>ﾃｸﾉｽ TSL915IW</v>
      </c>
      <c r="F13" t="str">
        <f t="shared" si="7"/>
        <v>tsl915iw</v>
      </c>
      <c r="G13">
        <v>100088</v>
      </c>
      <c r="H13" t="s">
        <v>91</v>
      </c>
      <c r="J13">
        <v>4650</v>
      </c>
      <c r="K13">
        <v>4650</v>
      </c>
      <c r="L13">
        <v>35000</v>
      </c>
      <c r="T13" t="str">
        <f t="shared" si="8"/>
        <v>64</v>
      </c>
      <c r="V13">
        <v>641</v>
      </c>
      <c r="X13" t="str">
        <f t="shared" si="5"/>
        <v>000002</v>
      </c>
      <c r="Y13" t="s">
        <v>43</v>
      </c>
      <c r="Z13">
        <v>1</v>
      </c>
      <c r="AD13">
        <v>1</v>
      </c>
      <c r="AK13" t="s">
        <v>102</v>
      </c>
    </row>
    <row r="14" spans="1:37" x14ac:dyDescent="0.4">
      <c r="B14">
        <v>141</v>
      </c>
      <c r="C14" t="s">
        <v>90</v>
      </c>
      <c r="D14" t="s">
        <v>89</v>
      </c>
      <c r="E14" s="5" t="str">
        <f t="shared" si="6"/>
        <v>ﾃｸﾉｽ TSL915IS</v>
      </c>
      <c r="F14" t="str">
        <f t="shared" si="7"/>
        <v>tsl915is</v>
      </c>
      <c r="G14">
        <v>100088</v>
      </c>
      <c r="H14" t="s">
        <v>91</v>
      </c>
      <c r="J14">
        <v>4650</v>
      </c>
      <c r="K14">
        <v>4650</v>
      </c>
      <c r="L14">
        <v>35000</v>
      </c>
      <c r="T14" t="str">
        <f t="shared" si="8"/>
        <v>64</v>
      </c>
      <c r="V14">
        <v>641</v>
      </c>
      <c r="X14" t="str">
        <f t="shared" si="5"/>
        <v>000002</v>
      </c>
      <c r="Y14" t="s">
        <v>43</v>
      </c>
      <c r="Z14">
        <v>1</v>
      </c>
      <c r="AD14">
        <v>1</v>
      </c>
      <c r="AK14" t="s">
        <v>103</v>
      </c>
    </row>
    <row r="875" spans="5:5" s="3" customFormat="1" x14ac:dyDescent="0.4">
      <c r="E875" s="5"/>
    </row>
    <row r="17182" spans="6:6" x14ac:dyDescent="0.4">
      <c r="F17182" s="1"/>
    </row>
    <row r="17183" spans="6:6" x14ac:dyDescent="0.4">
      <c r="F17183" s="1"/>
    </row>
    <row r="17184" spans="6:6" x14ac:dyDescent="0.4">
      <c r="F17184" s="1"/>
    </row>
    <row r="17185" spans="6:6" x14ac:dyDescent="0.4">
      <c r="F17185" s="2"/>
    </row>
    <row r="17186" spans="6:6" x14ac:dyDescent="0.4">
      <c r="F17186" s="2"/>
    </row>
    <row r="17187" spans="6:6" x14ac:dyDescent="0.4">
      <c r="F17187" s="2"/>
    </row>
    <row r="17188" spans="6:6" x14ac:dyDescent="0.4">
      <c r="F17188" s="2"/>
    </row>
    <row r="17189" spans="6:6" x14ac:dyDescent="0.4">
      <c r="F17189" s="1"/>
    </row>
    <row r="17190" spans="6:6" x14ac:dyDescent="0.4">
      <c r="F17190" s="1"/>
    </row>
    <row r="17191" spans="6:6" x14ac:dyDescent="0.4">
      <c r="F17191" s="1"/>
    </row>
    <row r="17192" spans="6:6" x14ac:dyDescent="0.4">
      <c r="F17192" s="1"/>
    </row>
    <row r="17193" spans="6:6" x14ac:dyDescent="0.4">
      <c r="F17193" s="1"/>
    </row>
    <row r="17194" spans="6:6" x14ac:dyDescent="0.4">
      <c r="F17194" s="1"/>
    </row>
    <row r="17195" spans="6:6" x14ac:dyDescent="0.4">
      <c r="F17195" s="1"/>
    </row>
    <row r="17196" spans="6:6" x14ac:dyDescent="0.4">
      <c r="F17196" s="1"/>
    </row>
    <row r="17197" spans="6:6" x14ac:dyDescent="0.4">
      <c r="F17197" s="1"/>
    </row>
    <row r="17198" spans="6:6" x14ac:dyDescent="0.4">
      <c r="F17198" s="1"/>
    </row>
    <row r="17199" spans="6:6" x14ac:dyDescent="0.4">
      <c r="F17199" s="1"/>
    </row>
    <row r="17200" spans="6:6" x14ac:dyDescent="0.4">
      <c r="F17200" s="1"/>
    </row>
    <row r="17201" spans="6:6" x14ac:dyDescent="0.4">
      <c r="F17201" s="1"/>
    </row>
    <row r="17202" spans="6:6" x14ac:dyDescent="0.4">
      <c r="F17202" s="1"/>
    </row>
    <row r="17203" spans="6:6" x14ac:dyDescent="0.4">
      <c r="F17203" s="1"/>
    </row>
    <row r="17204" spans="6:6" x14ac:dyDescent="0.4">
      <c r="F17204" s="1"/>
    </row>
    <row r="17205" spans="6:6" x14ac:dyDescent="0.4">
      <c r="F17205" s="1"/>
    </row>
    <row r="17206" spans="6:6" x14ac:dyDescent="0.4">
      <c r="F17206" s="2"/>
    </row>
    <row r="17207" spans="6:6" x14ac:dyDescent="0.4">
      <c r="F17207" s="2"/>
    </row>
    <row r="17208" spans="6:6" x14ac:dyDescent="0.4">
      <c r="F17208" s="2"/>
    </row>
    <row r="17209" spans="6:6" x14ac:dyDescent="0.4">
      <c r="F17209" s="2"/>
    </row>
    <row r="17210" spans="6:6" x14ac:dyDescent="0.4">
      <c r="F17210" s="2"/>
    </row>
    <row r="17211" spans="6:6" x14ac:dyDescent="0.4">
      <c r="F17211" s="2"/>
    </row>
    <row r="17212" spans="6:6" x14ac:dyDescent="0.4">
      <c r="F17212" s="2"/>
    </row>
    <row r="17213" spans="6:6" x14ac:dyDescent="0.4">
      <c r="F17213" s="2"/>
    </row>
    <row r="17214" spans="6:6" x14ac:dyDescent="0.4">
      <c r="F17214" s="2"/>
    </row>
    <row r="17215" spans="6:6" x14ac:dyDescent="0.4">
      <c r="F17215" s="2"/>
    </row>
    <row r="17216" spans="6:6" x14ac:dyDescent="0.4">
      <c r="F17216" s="2"/>
    </row>
    <row r="17217" spans="6:6" x14ac:dyDescent="0.4">
      <c r="F17217" s="1"/>
    </row>
    <row r="17218" spans="6:6" x14ac:dyDescent="0.4">
      <c r="F17218" s="1"/>
    </row>
    <row r="17219" spans="6:6" x14ac:dyDescent="0.4">
      <c r="F17219" s="1"/>
    </row>
    <row r="17220" spans="6:6" x14ac:dyDescent="0.4">
      <c r="F17220" s="1"/>
    </row>
    <row r="17221" spans="6:6" x14ac:dyDescent="0.4">
      <c r="F17221" s="1"/>
    </row>
    <row r="17222" spans="6:6" x14ac:dyDescent="0.4">
      <c r="F17222" s="1"/>
    </row>
    <row r="17223" spans="6:6" x14ac:dyDescent="0.4">
      <c r="F17223" s="1"/>
    </row>
    <row r="17224" spans="6:6" x14ac:dyDescent="0.4">
      <c r="F17224" s="2"/>
    </row>
    <row r="17225" spans="6:6" x14ac:dyDescent="0.4">
      <c r="F17225" s="2"/>
    </row>
    <row r="17226" spans="6:6" x14ac:dyDescent="0.4">
      <c r="F17226" s="2"/>
    </row>
    <row r="17227" spans="6:6" x14ac:dyDescent="0.4">
      <c r="F17227" s="2"/>
    </row>
    <row r="17228" spans="6:6" x14ac:dyDescent="0.4">
      <c r="F17228" s="2"/>
    </row>
    <row r="17229" spans="6:6" x14ac:dyDescent="0.4">
      <c r="F17229" s="2"/>
    </row>
    <row r="17230" spans="6:6" x14ac:dyDescent="0.4">
      <c r="F17230" s="2"/>
    </row>
    <row r="17231" spans="6:6" x14ac:dyDescent="0.4">
      <c r="F17231" s="2"/>
    </row>
    <row r="17232" spans="6:6" x14ac:dyDescent="0.4">
      <c r="F17232" s="2"/>
    </row>
    <row r="17233" spans="6:6" x14ac:dyDescent="0.4">
      <c r="F17233" s="2"/>
    </row>
    <row r="17234" spans="6:6" x14ac:dyDescent="0.4">
      <c r="F17234" s="2"/>
    </row>
    <row r="17235" spans="6:6" x14ac:dyDescent="0.4">
      <c r="F17235" s="2"/>
    </row>
    <row r="17239" spans="6:6" x14ac:dyDescent="0.4">
      <c r="F17239" s="2"/>
    </row>
    <row r="17240" spans="6:6" x14ac:dyDescent="0.4">
      <c r="F17240" s="2"/>
    </row>
    <row r="17241" spans="6:6" x14ac:dyDescent="0.4">
      <c r="F17241" s="2"/>
    </row>
    <row r="17242" spans="6:6" x14ac:dyDescent="0.4">
      <c r="F17242" s="2"/>
    </row>
    <row r="17243" spans="6:6" x14ac:dyDescent="0.4">
      <c r="F17243" s="2"/>
    </row>
    <row r="17244" spans="6:6" x14ac:dyDescent="0.4">
      <c r="F17244" s="2"/>
    </row>
    <row r="17245" spans="6:6" x14ac:dyDescent="0.4">
      <c r="F17245" s="2"/>
    </row>
    <row r="17246" spans="6:6" x14ac:dyDescent="0.4">
      <c r="F17246" s="2"/>
    </row>
    <row r="17247" spans="6:6" x14ac:dyDescent="0.4">
      <c r="F17247" s="2"/>
    </row>
    <row r="17248" spans="6:6" x14ac:dyDescent="0.4">
      <c r="F17248" s="2"/>
    </row>
    <row r="17249" spans="6:6" x14ac:dyDescent="0.4">
      <c r="F17249" s="1"/>
    </row>
    <row r="17250" spans="6:6" x14ac:dyDescent="0.4">
      <c r="F17250" s="1"/>
    </row>
    <row r="17251" spans="6:6" x14ac:dyDescent="0.4">
      <c r="F17251" s="1"/>
    </row>
    <row r="17252" spans="6:6" x14ac:dyDescent="0.4">
      <c r="F17252" s="1"/>
    </row>
    <row r="17253" spans="6:6" x14ac:dyDescent="0.4">
      <c r="F17253" s="1"/>
    </row>
    <row r="17254" spans="6:6" x14ac:dyDescent="0.4">
      <c r="F17254" s="1"/>
    </row>
    <row r="17255" spans="6:6" x14ac:dyDescent="0.4">
      <c r="F17255" s="1"/>
    </row>
    <row r="17261" spans="6:6" x14ac:dyDescent="0.4">
      <c r="F17261" s="2"/>
    </row>
    <row r="17262" spans="6:6" x14ac:dyDescent="0.4">
      <c r="F17262" s="2"/>
    </row>
    <row r="17263" spans="6:6" x14ac:dyDescent="0.4">
      <c r="F17263" s="2"/>
    </row>
    <row r="17264" spans="6:6" x14ac:dyDescent="0.4">
      <c r="F17264" s="2"/>
    </row>
    <row r="17265" spans="6:6" x14ac:dyDescent="0.4">
      <c r="F17265" s="2"/>
    </row>
    <row r="17266" spans="6:6" x14ac:dyDescent="0.4">
      <c r="F17266" s="2"/>
    </row>
    <row r="17267" spans="6:6" x14ac:dyDescent="0.4">
      <c r="F17267" s="2"/>
    </row>
    <row r="17268" spans="6:6" x14ac:dyDescent="0.4">
      <c r="F17268" s="1"/>
    </row>
  </sheetData>
  <phoneticPr fontId="18"/>
  <conditionalFormatting sqref="E2:E1048576">
    <cfRule type="expression" dxfId="1" priority="2">
      <formula>LENB($E2)&gt;36</formula>
    </cfRule>
  </conditionalFormatting>
  <conditionalFormatting sqref="F2">
    <cfRule type="expression" dxfId="0" priority="1">
      <formula>LENB($F2)&gt;10</formula>
    </cfRule>
  </conditionalFormatting>
  <dataValidations xWindow="1080" yWindow="352" count="19">
    <dataValidation type="textLength" operator="lessThanOrEqual" allowBlank="1" showInputMessage="1" showErrorMessage="1" sqref="C2">
      <formula1>30</formula1>
    </dataValidation>
    <dataValidation allowBlank="1" showInputMessage="1" showErrorMessage="1" promptTitle="文字数制限" prompt="半角36文字以内" sqref="E2 E15:E1048576"/>
    <dataValidation allowBlank="1" showInputMessage="1" showErrorMessage="1" promptTitle="文字数制限" prompt="半角10文字以内_x000a_型番カラムの値を左から10文字以内でトリムします。" sqref="F2"/>
    <dataValidation type="custom" operator="equal" allowBlank="1" showInputMessage="1" showErrorMessage="1" errorTitle="桁数エラー" error="JAN(EAN,UPC)コードは13桁、または8桁で入力してください。" promptTitle="JAN(EAN,UPC)コード" prompt="JAN(EAN,UPC)コードが設定されている場合は、必ず入力してください。_x000a_13桁か8桁で入力してください。" sqref="AK3:AK8">
      <formula1>OR(AND(INT(AK3)=AK3,LEN(AK3)=13),AND(INT(AK3)=AK3,LEN(AK3)=8))</formula1>
    </dataValidation>
    <dataValidation type="textLength" operator="lessThanOrEqual" allowBlank="1" showInputMessage="1" showErrorMessage="1" errorTitle="桁数オーバー" error="入力桁数を超えています。半角30文字以内で入力してください。" promptTitle="型番" prompt="最大半角30文字以内で入力してください。この型番は、仕入伝票に記載の型番や得意先からの発注書に記載の型番と一致している必要があります。" sqref="D2:D3">
      <formula1>30</formula1>
    </dataValidation>
    <dataValidation type="whole" allowBlank="1" showInputMessage="1" showErrorMessage="1" errorTitle="桁数オーバー" error="半角数字9桁以下で入力してください。" promptTitle="標準仕入単価" prompt="国内仕入の商品は通常の仕入単価を入力してください。_x000a_海外仕入の商品は単価(USD)×為替レート(20期115円)を入力してください。少数点以下は切り捨てです。" sqref="O3 J3:K5">
      <formula1>1</formula1>
      <formula2>999999999</formula2>
    </dataValidation>
    <dataValidation type="whole" allowBlank="1" showInputMessage="1" showErrorMessage="1" promptTitle="在庫評価単価" prompt="国内仕入の商品は通常の単価を入力してください。_x000a_海外仕入の商品は単価(USD)×為替レート(20期115円)×輸入諸掛費(20期1.045)を入力してください。" sqref="P3">
      <formula1>1</formula1>
      <formula2>999999999</formula2>
    </dataValidation>
    <dataValidation type="whole" allowBlank="1" showInputMessage="1" showErrorMessage="1" promptTitle="上代単価" prompt="上代が設定されている商品は必ず入力してください。単価設定で上代×掛率計算を使用している得意先は、ここの設定が影響します。_x000a_オープン価格の商品は入力不要です。" sqref="L3:L5 Q3">
      <formula1>1</formula1>
      <formula2>999999999</formula2>
    </dataValidation>
    <dataValidation allowBlank="1" showInputMessage="1" showErrorMessage="1" promptTitle="新単価実施日" prompt="仕入単価に変更がある場合は、変更を適用する日付を入力してください。新単価実施日が入力されている場合は、新標準仕入単価と新在庫評価単価は必須項目になります。" sqref="M3"/>
    <dataValidation allowBlank="1" showInputMessage="1" showErrorMessage="1" promptTitle="商品小分類コード" prompt="CUBEの商品カテゴリ管理から商品小分類コード(3桁)を検索して入力してください。_x000a_http://dev-cube/cube/app/categorymgmt/public/" sqref="V2"/>
    <dataValidation type="list" allowBlank="1" showInputMessage="1" showErrorMessage="1" promptTitle="棚コード名" prompt="在庫保有コードが2(有り)の場合は必須になります。リストより事前に割り当てられた棚番号を選択してください。" sqref="AC3">
      <formula1>棚コード名</formula1>
    </dataValidation>
    <dataValidation type="whole" operator="lessThanOrEqual" allowBlank="1" showInputMessage="1" showErrorMessage="1" errorTitle="桁数オーバー" error="半角数字6桁以下で入力してください。" promptTitle="主仕入先コード" prompt="仕入先登録がある場合は必ず入力してください。_x000a_項目名の検索ボタンをクリックして、コードを検索できます。_x000a_※複数の仕入先がある場合はメインの仕入先を入力してください。_x000a_※受注処理の際、発注同時処理を行う場合はここの仕入先が初期値となります。" sqref="G3:G14">
      <formula1>999999</formula1>
    </dataValidation>
    <dataValidation imeMode="halfKatakana" allowBlank="1" showInputMessage="1" showErrorMessage="1" promptTitle="ブランド名" prompt="半角カタカナで正確なブランド名を入力してください。" sqref="C3:C14"/>
    <dataValidation allowBlank="1" showInputMessage="1" showErrorMessage="1" promptTitle="商品小分類コード" prompt="http://192.168.1.250/cube/app/categorymgmt/public/_x000a_で検索してください。" sqref="V3:V14"/>
    <dataValidation type="list" allowBlank="1" showInputMessage="1" showErrorMessage="1" promptTitle="商品種別名" prompt="プルダウンリストから選択してください。" sqref="Y3:Y14">
      <formula1>商品種別名</formula1>
    </dataValidation>
    <dataValidation type="whole" allowBlank="1" showInputMessage="1" showErrorMessage="1" errorTitle="入力エラー" error="入力不可の数値です。" promptTitle="在庫保有ｺｰﾄﾞ" prompt="在庫保有無・・・1_x000a_在庫保有有・・・2_x000a_" sqref="Z3:Z14">
      <formula1>1</formula1>
      <formula2>2</formula2>
    </dataValidation>
    <dataValidation type="textLength" operator="lessThanOrEqual" allowBlank="1" showInputMessage="1" showErrorMessage="1" errorTitle="文字数オーバー" error="半角36文字以内で入力してください。" promptTitle="商品名" prompt="このセルはブランド名+型番が自動で入力されます。_x000a_文字数制限は半角36文字以内で入力してください。文字が赤くなった場合は文字数オーバーですのでブランド名か型番を短くしてください。" sqref="E3:E14">
      <formula1>36</formula1>
    </dataValidation>
    <dataValidation type="textLength" operator="lessThanOrEqual" allowBlank="1" showInputMessage="1" showErrorMessage="1" errorTitle="文字数オーバー" error="半角10文字以内で入力してください。" promptTitle="商品名索引" prompt="半角10文字以内_x000a_左から型番カラムの値を左から10文字以内でトリムします。" sqref="F3:F14">
      <formula1>10</formula1>
    </dataValidation>
    <dataValidation allowBlank="1" showInputMessage="1" showErrorMessage="1" promptTitle="文字数制限" prompt="半角10文字以内_x000a_左から型番カラムの値を左から10文字以内でトリムします。" sqref="F15:F1048576"/>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46" r:id="rId4" name="brandcodeSrch">
          <controlPr defaultSize="0" autoLine="0" r:id="rId5">
            <anchor moveWithCells="1">
              <from>
                <xdr:col>1</xdr:col>
                <xdr:colOff>38100</xdr:colOff>
                <xdr:row>0</xdr:row>
                <xdr:rowOff>266700</xdr:rowOff>
              </from>
              <to>
                <xdr:col>1</xdr:col>
                <xdr:colOff>1685925</xdr:colOff>
                <xdr:row>0</xdr:row>
                <xdr:rowOff>619125</xdr:rowOff>
              </to>
            </anchor>
          </controlPr>
        </control>
      </mc:Choice>
      <mc:Fallback>
        <control shapeId="1046" r:id="rId4" name="brandcodeSrch"/>
      </mc:Fallback>
    </mc:AlternateContent>
    <mc:AlternateContent xmlns:mc="http://schemas.openxmlformats.org/markup-compatibility/2006">
      <mc:Choice Requires="x14">
        <control shapeId="1047" r:id="rId6" name="suppliercodeSrch">
          <controlPr defaultSize="0" autoLine="0" r:id="rId7">
            <anchor moveWithCells="1">
              <from>
                <xdr:col>6</xdr:col>
                <xdr:colOff>114300</xdr:colOff>
                <xdr:row>0</xdr:row>
                <xdr:rowOff>257175</xdr:rowOff>
              </from>
              <to>
                <xdr:col>6</xdr:col>
                <xdr:colOff>1066800</xdr:colOff>
                <xdr:row>0</xdr:row>
                <xdr:rowOff>609600</xdr:rowOff>
              </to>
            </anchor>
          </controlPr>
        </control>
      </mc:Choice>
      <mc:Fallback>
        <control shapeId="1047" r:id="rId6" name="suppliercodeSrch"/>
      </mc:Fallback>
    </mc:AlternateContent>
    <mc:AlternateContent xmlns:mc="http://schemas.openxmlformats.org/markup-compatibility/2006">
      <mc:Choice Requires="x14">
        <control shapeId="1048" r:id="rId8" name="categorycodeSrch">
          <controlPr defaultSize="0" autoLine="0" r:id="rId9">
            <anchor moveWithCells="1">
              <from>
                <xdr:col>21</xdr:col>
                <xdr:colOff>28575</xdr:colOff>
                <xdr:row>0</xdr:row>
                <xdr:rowOff>447675</xdr:rowOff>
              </from>
              <to>
                <xdr:col>21</xdr:col>
                <xdr:colOff>981075</xdr:colOff>
                <xdr:row>1</xdr:row>
                <xdr:rowOff>133350</xdr:rowOff>
              </to>
            </anchor>
          </controlPr>
        </control>
      </mc:Choice>
      <mc:Fallback>
        <control shapeId="1048" r:id="rId8" name="categorycodeSrch"/>
      </mc:Fallback>
    </mc:AlternateContent>
  </controls>
  <extLst>
    <ext xmlns:x14="http://schemas.microsoft.com/office/spreadsheetml/2009/9/main" uri="{CCE6A557-97BC-4b89-ADB6-D9C93CAAB3DF}">
      <x14:dataValidations xmlns:xm="http://schemas.microsoft.com/office/excel/2006/main" xWindow="1080" yWindow="352" count="1">
        <x14:dataValidation type="list" allowBlank="1" showInputMessage="1" showErrorMessage="1">
          <x14:formula1>
            <xm:f>OFFSET(Hidden!$B$2,0,0,COUNTA(Hidden!$B:$B)-1,1)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7"/>
  <sheetViews>
    <sheetView topLeftCell="J1" workbookViewId="0">
      <selection activeCell="X24" sqref="X24"/>
    </sheetView>
  </sheetViews>
  <sheetFormatPr defaultRowHeight="18.75" x14ac:dyDescent="0.4"/>
  <cols>
    <col min="1" max="1" width="11.25" bestFit="1" customWidth="1"/>
    <col min="2" max="2" width="42.25" bestFit="1" customWidth="1"/>
    <col min="24" max="24" width="22.125" customWidth="1"/>
  </cols>
  <sheetData>
    <row r="1" spans="1:36" x14ac:dyDescent="0.4">
      <c r="A1" t="s">
        <v>0</v>
      </c>
      <c r="B1" t="s">
        <v>37</v>
      </c>
      <c r="C1" t="s">
        <v>38</v>
      </c>
      <c r="D1" t="s">
        <v>48</v>
      </c>
      <c r="E1" t="s">
        <v>1</v>
      </c>
      <c r="F1" t="s">
        <v>2</v>
      </c>
      <c r="G1" t="s">
        <v>3</v>
      </c>
      <c r="H1" t="s">
        <v>4</v>
      </c>
      <c r="I1" t="s">
        <v>5</v>
      </c>
      <c r="J1" t="s">
        <v>6</v>
      </c>
      <c r="K1" t="s">
        <v>7</v>
      </c>
      <c r="L1" t="s">
        <v>8</v>
      </c>
      <c r="M1" t="s">
        <v>9</v>
      </c>
      <c r="N1" t="s">
        <v>10</v>
      </c>
      <c r="O1" t="s">
        <v>11</v>
      </c>
      <c r="P1" t="s">
        <v>12</v>
      </c>
      <c r="Q1" t="s">
        <v>28</v>
      </c>
      <c r="R1" t="s">
        <v>29</v>
      </c>
      <c r="S1" t="s">
        <v>30</v>
      </c>
      <c r="T1" t="s">
        <v>13</v>
      </c>
      <c r="U1" t="s">
        <v>31</v>
      </c>
      <c r="V1" t="s">
        <v>32</v>
      </c>
      <c r="W1" t="s">
        <v>14</v>
      </c>
      <c r="X1" t="s">
        <v>49</v>
      </c>
      <c r="Y1" t="s">
        <v>16</v>
      </c>
      <c r="Z1" t="s">
        <v>17</v>
      </c>
      <c r="AA1" t="s">
        <v>18</v>
      </c>
      <c r="AB1" t="s">
        <v>19</v>
      </c>
      <c r="AC1" t="s">
        <v>20</v>
      </c>
      <c r="AD1" t="s">
        <v>21</v>
      </c>
      <c r="AE1" t="s">
        <v>22</v>
      </c>
      <c r="AF1" t="s">
        <v>33</v>
      </c>
      <c r="AG1" t="s">
        <v>34</v>
      </c>
      <c r="AH1" t="s">
        <v>23</v>
      </c>
      <c r="AI1" t="s">
        <v>35</v>
      </c>
      <c r="AJ1" t="s">
        <v>24</v>
      </c>
    </row>
    <row r="2" spans="1:36" x14ac:dyDescent="0.4">
      <c r="X2" t="s">
        <v>42</v>
      </c>
      <c r="AA2">
        <v>1</v>
      </c>
      <c r="AB2" t="s">
        <v>50</v>
      </c>
    </row>
    <row r="3" spans="1:36" x14ac:dyDescent="0.4">
      <c r="X3" t="s">
        <v>43</v>
      </c>
      <c r="AA3">
        <v>2</v>
      </c>
      <c r="AB3" t="s">
        <v>51</v>
      </c>
    </row>
    <row r="4" spans="1:36" x14ac:dyDescent="0.4">
      <c r="X4" t="s">
        <v>44</v>
      </c>
      <c r="AA4">
        <v>3</v>
      </c>
      <c r="AB4" t="s">
        <v>52</v>
      </c>
    </row>
    <row r="5" spans="1:36" x14ac:dyDescent="0.4">
      <c r="X5" t="s">
        <v>45</v>
      </c>
      <c r="AA5">
        <v>4</v>
      </c>
      <c r="AB5" t="s">
        <v>53</v>
      </c>
    </row>
    <row r="6" spans="1:36" x14ac:dyDescent="0.4">
      <c r="X6" t="s">
        <v>46</v>
      </c>
      <c r="AA6">
        <v>5</v>
      </c>
      <c r="AB6" t="s">
        <v>54</v>
      </c>
    </row>
    <row r="7" spans="1:36" x14ac:dyDescent="0.4">
      <c r="X7" t="s">
        <v>47</v>
      </c>
      <c r="AA7">
        <v>6</v>
      </c>
      <c r="AB7" t="s">
        <v>55</v>
      </c>
    </row>
    <row r="8" spans="1:36" x14ac:dyDescent="0.4">
      <c r="AA8">
        <v>7</v>
      </c>
      <c r="AB8" t="s">
        <v>56</v>
      </c>
    </row>
    <row r="9" spans="1:36" x14ac:dyDescent="0.4">
      <c r="AA9">
        <v>8</v>
      </c>
      <c r="AB9" t="s">
        <v>57</v>
      </c>
    </row>
    <row r="10" spans="1:36" x14ac:dyDescent="0.4">
      <c r="AA10">
        <v>9</v>
      </c>
      <c r="AB10" t="s">
        <v>58</v>
      </c>
    </row>
    <row r="11" spans="1:36" x14ac:dyDescent="0.4">
      <c r="AA11">
        <v>10</v>
      </c>
      <c r="AB11" t="s">
        <v>59</v>
      </c>
    </row>
    <row r="12" spans="1:36" x14ac:dyDescent="0.4">
      <c r="AA12">
        <v>11</v>
      </c>
      <c r="AB12" t="s">
        <v>60</v>
      </c>
    </row>
    <row r="13" spans="1:36" x14ac:dyDescent="0.4">
      <c r="AA13">
        <v>12</v>
      </c>
      <c r="AB13" t="s">
        <v>61</v>
      </c>
    </row>
    <row r="14" spans="1:36" x14ac:dyDescent="0.4">
      <c r="AA14">
        <v>13</v>
      </c>
      <c r="AB14" t="s">
        <v>62</v>
      </c>
    </row>
    <row r="15" spans="1:36" x14ac:dyDescent="0.4">
      <c r="AA15">
        <v>14</v>
      </c>
      <c r="AB15" t="s">
        <v>63</v>
      </c>
    </row>
    <row r="16" spans="1:36" x14ac:dyDescent="0.4">
      <c r="AA16">
        <v>15</v>
      </c>
      <c r="AB16" t="s">
        <v>64</v>
      </c>
    </row>
    <row r="17" spans="27:28" x14ac:dyDescent="0.4">
      <c r="AA17">
        <v>16</v>
      </c>
      <c r="AB17" t="s">
        <v>65</v>
      </c>
    </row>
    <row r="18" spans="27:28" x14ac:dyDescent="0.4">
      <c r="AA18">
        <v>17</v>
      </c>
      <c r="AB18" t="s">
        <v>66</v>
      </c>
    </row>
    <row r="19" spans="27:28" x14ac:dyDescent="0.4">
      <c r="AA19">
        <v>18</v>
      </c>
      <c r="AB19" t="s">
        <v>67</v>
      </c>
    </row>
    <row r="20" spans="27:28" x14ac:dyDescent="0.4">
      <c r="AA20">
        <v>19</v>
      </c>
      <c r="AB20" t="s">
        <v>68</v>
      </c>
    </row>
    <row r="21" spans="27:28" x14ac:dyDescent="0.4">
      <c r="AA21">
        <v>20</v>
      </c>
      <c r="AB21" t="s">
        <v>69</v>
      </c>
    </row>
    <row r="22" spans="27:28" x14ac:dyDescent="0.4">
      <c r="AA22">
        <v>21</v>
      </c>
      <c r="AB22" t="s">
        <v>70</v>
      </c>
    </row>
    <row r="23" spans="27:28" x14ac:dyDescent="0.4">
      <c r="AA23">
        <v>22</v>
      </c>
      <c r="AB23" t="s">
        <v>71</v>
      </c>
    </row>
    <row r="24" spans="27:28" x14ac:dyDescent="0.4">
      <c r="AA24">
        <v>23</v>
      </c>
      <c r="AB24" t="s">
        <v>72</v>
      </c>
    </row>
    <row r="25" spans="27:28" x14ac:dyDescent="0.4">
      <c r="AA25">
        <v>24</v>
      </c>
      <c r="AB25" t="s">
        <v>73</v>
      </c>
    </row>
    <row r="26" spans="27:28" x14ac:dyDescent="0.4">
      <c r="AA26">
        <v>25</v>
      </c>
      <c r="AB26" t="s">
        <v>74</v>
      </c>
    </row>
    <row r="27" spans="27:28" x14ac:dyDescent="0.4">
      <c r="AA27">
        <v>26</v>
      </c>
      <c r="AB27" t="s">
        <v>75</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最新商品マスタ</vt:lpstr>
      <vt:lpstr>Hidden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Ohno</dc:creator>
  <cp:lastModifiedBy>Ohno</cp:lastModifiedBy>
  <dcterms:created xsi:type="dcterms:W3CDTF">2017-03-03T05:19:37Z</dcterms:created>
  <dcterms:modified xsi:type="dcterms:W3CDTF">2017-10-10T06:40:41Z</dcterms:modified>
</cp:coreProperties>
</file>